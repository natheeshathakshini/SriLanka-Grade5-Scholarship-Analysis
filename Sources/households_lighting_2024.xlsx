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-SO005\Desktop\Tables\Housing\"/>
    </mc:Choice>
  </mc:AlternateContent>
  <xr:revisionPtr revIDLastSave="0" documentId="13_ncr:1_{9B29D087-B4A1-4DDD-9F22-E11FAFE3CB02}" xr6:coauthVersionLast="36" xr6:coauthVersionMax="36" xr10:uidLastSave="{00000000-0000-0000-0000-000000000000}"/>
  <bookViews>
    <workbookView xWindow="0" yWindow="0" windowWidth="20490" windowHeight="7545" xr2:uid="{95188745-2CB6-4B42-8B5E-BAE824884FCD}"/>
  </bookViews>
  <sheets>
    <sheet name="A7" sheetId="1" r:id="rId1"/>
  </sheets>
  <definedNames>
    <definedName name="_xlnm.Print_Area" localSheetId="0">'A7'!$A$1:$I$58</definedName>
    <definedName name="_xlnm.Print_Titles" localSheetId="0">'A7'!$5:$6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D7" i="1"/>
  <c r="E7" i="1"/>
  <c r="F7" i="1"/>
  <c r="G7" i="1"/>
  <c r="H7" i="1"/>
  <c r="I7" i="1"/>
</calcChain>
</file>

<file path=xl/sharedStrings.xml><?xml version="1.0" encoding="utf-8"?>
<sst xmlns="http://schemas.openxmlformats.org/spreadsheetml/2006/main" count="39" uniqueCount="39">
  <si>
    <t xml:space="preserve">කෑගල්ල   கேகாலை   Kegalle </t>
  </si>
  <si>
    <t xml:space="preserve">රත්නපුර  இரத்தினபுரி   Rathnapura </t>
  </si>
  <si>
    <t xml:space="preserve">මොණරාගල  மொணராகலை  Monaragala </t>
  </si>
  <si>
    <t xml:space="preserve">බදුල්ල  பதுளை Badulla </t>
  </si>
  <si>
    <t xml:space="preserve">පොළොන්නරුව  பொலன்னறுவை Polonnaruwa </t>
  </si>
  <si>
    <t xml:space="preserve">අනුරාධපුරය  அனுராதபுரம்  Anuradhapura </t>
  </si>
  <si>
    <t xml:space="preserve">පුත්තලම   புத்தளம்     Puttalam </t>
  </si>
  <si>
    <t xml:space="preserve">කුරුණෑගල  குருணாகல்   Kurunegala </t>
  </si>
  <si>
    <t>ත්‍රිකුණාමලය  திருகோணமலை   Trincomalee</t>
  </si>
  <si>
    <t xml:space="preserve">අම්පාර    அம்பாறை     Ampara </t>
  </si>
  <si>
    <t>මඩකලපුව  மட்டக்களப்பு   Batticaloa</t>
  </si>
  <si>
    <t xml:space="preserve">කිළිනොච්චි  கிளிநொச்சி  Kilinochchi </t>
  </si>
  <si>
    <t xml:space="preserve">මුලතිව්   முல்லைத்தீவு     Mullaitivu </t>
  </si>
  <si>
    <t xml:space="preserve">වවුනියාව  வவுனியா    Vavuniya </t>
  </si>
  <si>
    <t xml:space="preserve">මන්නාරම  மன்னார்    Mannar </t>
  </si>
  <si>
    <t xml:space="preserve">යාපනය  யாழ்ப்பாணம்   Jaffna </t>
  </si>
  <si>
    <t>හම්බන්තොට  அம்பாந்தோட்டை Hambantota</t>
  </si>
  <si>
    <t xml:space="preserve">මාතර  மாத்தறை      Matara </t>
  </si>
  <si>
    <t>ගාල්ල    காலி    Galle</t>
  </si>
  <si>
    <t xml:space="preserve">නුවරඑළිය  நுவரெலியா  Nuwaraeliya </t>
  </si>
  <si>
    <t xml:space="preserve">මාතලේ  மாத்தளை   Matale </t>
  </si>
  <si>
    <t xml:space="preserve">මහනුවර  கண்டி   Kandy </t>
  </si>
  <si>
    <t xml:space="preserve">කළුතර   களுத்தறை   Kalutara </t>
  </si>
  <si>
    <t xml:space="preserve">ගම්පහ  கம்பஹா    Gampaha </t>
  </si>
  <si>
    <t>කොළඹ  கொழும்பு  Colombo</t>
  </si>
  <si>
    <t>ශ්‍රී ලංකාව இலங்கை Sri Lanka</t>
  </si>
  <si>
    <r>
      <t xml:space="preserve">වෙනත් 
ஏனையவை
</t>
    </r>
    <r>
      <rPr>
        <sz val="7"/>
        <rFont val="Times New Roman"/>
        <family val="1"/>
      </rPr>
      <t xml:space="preserve">Other </t>
    </r>
  </si>
  <si>
    <t xml:space="preserve">ජෙනරේටරය
 மின்பிறப்பாக்கி (ஜெனரேட்டர்)
Generator </t>
  </si>
  <si>
    <t xml:space="preserve">ජීව වායුව 
உயிரியல் வாயு
Bio gas </t>
  </si>
  <si>
    <t>සූර්ය බල ශක්තිය (හුදකලා)
சூரிய வலு  (தனியாக)
Solar power (stand alone)</t>
  </si>
  <si>
    <t>සූර්ය බල ශක්තිය (ජාල සම්බන්ධිත)
 சூரிய வலு (கட்டம் இணைக்கப்பட்டுள்ளது)
Solar power (grid connected)</t>
  </si>
  <si>
    <t>භූමිතෙල් ලාම්පුව 
மண்ணெண்ணெய் விளக்கு
Kerosene lamp</t>
  </si>
  <si>
    <t>විදුලිය - ජාතික විදුලිබල පද්ධතිය/ග්‍රාමීය විදුලිබල යෝජනාක්‍රමය
மின்சாரம் - தேசியத் திட்டம் / கிராமிய மின் வழங்கும் திட்டம்
Electricity - from National Grid / from rural electrification project</t>
  </si>
  <si>
    <t>ආලෝකය ලබා ගන්නා ප්‍රධාන මාර්ගය 
வெளிச்சத்தைப் பெற்றுக்கொள்ளும் பிரதான மார்க்கம்
Main type of lighting</t>
  </si>
  <si>
    <t>ගෘහ කාණ්ඩ සංඛ්‍යාව 
குடிதனங்களின் எண்ணிக்கை
Number of households</t>
  </si>
  <si>
    <t xml:space="preserve">දිස්ත්‍රික්කය 
மாவட்டம்
District </t>
  </si>
  <si>
    <t>A7 : Number of households by source of lighting at district level 2024</t>
  </si>
  <si>
    <t>A7 : ආලෝකය ලබාගන්නා ප්‍රධාන මාර්ගය අනුව ගෘහ කාණ්ඩ ප්‍රමාණය  දිස්ත්‍රික්ක මට්ටමින්, 2024</t>
  </si>
  <si>
    <r>
      <rPr>
        <b/>
        <sz val="9"/>
        <color theme="1"/>
        <rFont val="Times New Roman"/>
        <family val="1"/>
      </rPr>
      <t>A7 :</t>
    </r>
    <r>
      <rPr>
        <b/>
        <sz val="8"/>
        <color theme="1"/>
        <rFont val="Times New Roman"/>
        <family val="1"/>
      </rPr>
      <t xml:space="preserve"> மாவட்ட அடிப்படையில் வெளிச்சத்தைப்பெற்றுக்கொள்ளும் பிரதான மார்க்கத்திற்கமைய வசிக்கும் வீட்டுக்கூறுகளிலுள்ள குடித்தனங்களின் எண்ணிக்கை,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</si>
</sst>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10205"/>
      <name val="Times New Roman"/>
      <family val="1"/>
    </font>
    <font>
      <sz val="7"/>
      <color theme="1"/>
      <name val="Times New Roman"/>
      <family val="1"/>
    </font>
    <font>
      <sz val="7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AD9A8"/>
        <bgColor indexed="64"/>
      </patternFill>
    </fill>
    <fill>
      <patternFill patternType="solid">
        <fgColor rgb="FFFBCD9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2" applyNumberFormat="1" applyFont="1" applyFill="1" applyBorder="1" applyAlignment="1">
      <alignment horizontal="right" vertical="center"/>
    </xf>
    <xf numFmtId="164" fontId="2" fillId="2" borderId="1" xfId="3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" fontId="2" fillId="2" borderId="0" xfId="4" applyNumberFormat="1" applyFont="1" applyFill="1" applyBorder="1" applyAlignment="1">
      <alignment horizontal="right" vertical="center"/>
    </xf>
    <xf numFmtId="3" fontId="2" fillId="2" borderId="0" xfId="5" applyNumberFormat="1" applyFont="1" applyFill="1" applyBorder="1" applyAlignment="1">
      <alignment horizontal="right" vertical="center"/>
    </xf>
    <xf numFmtId="3" fontId="2" fillId="2" borderId="0" xfId="6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164" fontId="2" fillId="2" borderId="1" xfId="7" applyNumberFormat="1" applyFont="1" applyFill="1" applyBorder="1" applyAlignment="1">
      <alignment horizontal="right" vertical="center"/>
    </xf>
    <xf numFmtId="164" fontId="2" fillId="2" borderId="1" xfId="8" applyNumberFormat="1" applyFont="1" applyFill="1" applyBorder="1" applyAlignment="1">
      <alignment horizontal="right" vertical="center"/>
    </xf>
    <xf numFmtId="164" fontId="2" fillId="2" borderId="1" xfId="9" applyNumberFormat="1" applyFont="1" applyFill="1" applyBorder="1" applyAlignment="1">
      <alignment horizontal="right" vertical="center"/>
    </xf>
    <xf numFmtId="164" fontId="2" fillId="0" borderId="1" xfId="7" applyNumberFormat="1" applyFont="1" applyFill="1" applyBorder="1" applyAlignment="1">
      <alignment horizontal="right" vertical="center"/>
    </xf>
    <xf numFmtId="164" fontId="2" fillId="0" borderId="1" xfId="8" applyNumberFormat="1" applyFont="1" applyFill="1" applyBorder="1" applyAlignment="1">
      <alignment horizontal="right" vertical="center"/>
    </xf>
    <xf numFmtId="164" fontId="2" fillId="0" borderId="1" xfId="9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2" fillId="0" borderId="0" xfId="4" applyNumberFormat="1" applyFont="1" applyFill="1" applyBorder="1" applyAlignment="1">
      <alignment horizontal="right" vertical="center"/>
    </xf>
    <xf numFmtId="3" fontId="2" fillId="0" borderId="0" xfId="5" applyNumberFormat="1" applyFont="1" applyFill="1" applyBorder="1" applyAlignment="1">
      <alignment horizontal="right" vertical="center"/>
    </xf>
    <xf numFmtId="3" fontId="2" fillId="0" borderId="0" xfId="6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2" fillId="3" borderId="0" xfId="10" applyNumberFormat="1" applyFont="1" applyFill="1" applyBorder="1" applyAlignment="1">
      <alignment horizontal="right" vertical="center"/>
    </xf>
    <xf numFmtId="3" fontId="2" fillId="3" borderId="0" xfId="11" applyNumberFormat="1" applyFont="1" applyFill="1" applyBorder="1" applyAlignment="1">
      <alignment horizontal="right" vertical="center"/>
    </xf>
    <xf numFmtId="3" fontId="2" fillId="3" borderId="0" xfId="12" applyNumberFormat="1" applyFont="1" applyFill="1" applyBorder="1" applyAlignment="1">
      <alignment horizontal="right" vertical="center"/>
    </xf>
    <xf numFmtId="3" fontId="2" fillId="0" borderId="0" xfId="13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 textRotation="90" wrapText="1"/>
    </xf>
    <xf numFmtId="0" fontId="5" fillId="0" borderId="0" xfId="0" applyFont="1"/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</cellXfs>
  <cellStyles count="14">
    <cellStyle name="Normal" xfId="0" builtinId="0"/>
    <cellStyle name="style1747390994488" xfId="13" xr:uid="{03EB2E81-54B4-4E41-A584-089D7DF35C0B}"/>
    <cellStyle name="style1747390994615" xfId="9" xr:uid="{EBD85C16-0C7E-4156-AA30-83639D15E9F5}"/>
    <cellStyle name="style1747390994663" xfId="8" xr:uid="{123A661D-1CCD-4333-8CA3-E641EB747799}"/>
    <cellStyle name="style1747390994730" xfId="7" xr:uid="{E2ABD03F-B853-4D4A-B6B7-254FC6F2C30D}"/>
    <cellStyle name="style1747390994801" xfId="6" xr:uid="{0513F991-1ECE-46E4-8007-23CEC0234356}"/>
    <cellStyle name="style1747390994837" xfId="5" xr:uid="{1193E14F-4AB6-4A75-8167-E5FEE3CB21F1}"/>
    <cellStyle name="style1747390994878" xfId="4" xr:uid="{3B07BD21-F591-452B-A17B-930C4C04D079}"/>
    <cellStyle name="style1747390994973" xfId="3" xr:uid="{62784DF5-6681-421D-AE52-C966B2FC4847}"/>
    <cellStyle name="style1747390995005" xfId="2" xr:uid="{9474F053-BB48-4243-BE92-37E45ABDAE58}"/>
    <cellStyle name="style1747390995053" xfId="1" xr:uid="{2FAC98BB-51F1-4FCC-92FF-0F8975BBBAA8}"/>
    <cellStyle name="style1747391044182" xfId="12" xr:uid="{62488D6B-8609-4A05-BE4E-CC872491213E}"/>
    <cellStyle name="style1747391044230" xfId="11" xr:uid="{00786E7C-2B81-4050-B07A-50F2FDAD45D8}"/>
    <cellStyle name="style1747391044277" xfId="10" xr:uid="{EC8D1D5C-11DC-4B5B-A8F3-62A3C4D92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A7DF-6A95-4128-8A26-C418F3F0D58F}">
  <sheetPr>
    <tabColor rgb="FF92D050"/>
  </sheetPr>
  <dimension ref="A1:I58"/>
  <sheetViews>
    <sheetView tabSelected="1" zoomScale="150" zoomScaleNormal="150" workbookViewId="0">
      <selection sqref="A1:I1"/>
    </sheetView>
  </sheetViews>
  <sheetFormatPr defaultRowHeight="15" x14ac:dyDescent="0.25"/>
  <cols>
    <col min="1" max="1" width="29.7109375" customWidth="1"/>
    <col min="2" max="2" width="6.7109375" customWidth="1"/>
    <col min="3" max="3" width="8.140625" customWidth="1"/>
    <col min="4" max="4" width="5.85546875" customWidth="1"/>
    <col min="5" max="5" width="6" customWidth="1"/>
    <col min="6" max="6" width="5.7109375" customWidth="1"/>
    <col min="7" max="7" width="5.5703125" customWidth="1"/>
    <col min="8" max="8" width="6" customWidth="1"/>
    <col min="9" max="9" width="5.7109375" customWidth="1"/>
  </cols>
  <sheetData>
    <row r="1" spans="1:9" x14ac:dyDescent="0.25">
      <c r="A1" s="27" t="s">
        <v>37</v>
      </c>
      <c r="B1" s="27"/>
      <c r="C1" s="27"/>
      <c r="D1" s="27"/>
      <c r="E1" s="27"/>
      <c r="F1" s="27"/>
      <c r="G1" s="27"/>
      <c r="H1" s="27"/>
      <c r="I1" s="27"/>
    </row>
    <row r="2" spans="1:9" ht="27.75" customHeight="1" x14ac:dyDescent="0.25">
      <c r="A2" s="26" t="s">
        <v>38</v>
      </c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s="27" t="s">
        <v>36</v>
      </c>
      <c r="B3" s="27"/>
      <c r="C3" s="27"/>
      <c r="D3" s="27"/>
      <c r="E3" s="27"/>
      <c r="F3" s="27"/>
      <c r="G3" s="27"/>
      <c r="H3" s="27"/>
      <c r="I3" s="27"/>
    </row>
    <row r="4" spans="1:9" x14ac:dyDescent="0.25">
      <c r="A4" s="25"/>
      <c r="B4" s="25"/>
      <c r="C4" s="25"/>
      <c r="D4" s="25"/>
      <c r="E4" s="25"/>
      <c r="F4" s="25"/>
      <c r="G4" s="25"/>
    </row>
    <row r="5" spans="1:9" ht="33" customHeight="1" x14ac:dyDescent="0.25">
      <c r="A5" s="28" t="s">
        <v>35</v>
      </c>
      <c r="B5" s="30" t="s">
        <v>34</v>
      </c>
      <c r="C5" s="32" t="s">
        <v>33</v>
      </c>
      <c r="D5" s="32"/>
      <c r="E5" s="32"/>
      <c r="F5" s="32"/>
      <c r="G5" s="32"/>
      <c r="H5" s="32"/>
      <c r="I5" s="32"/>
    </row>
    <row r="6" spans="1:9" ht="197.25" customHeight="1" x14ac:dyDescent="0.25">
      <c r="A6" s="29"/>
      <c r="B6" s="31"/>
      <c r="C6" s="24" t="s">
        <v>32</v>
      </c>
      <c r="D6" s="24" t="s">
        <v>31</v>
      </c>
      <c r="E6" s="24" t="s">
        <v>30</v>
      </c>
      <c r="F6" s="24" t="s">
        <v>29</v>
      </c>
      <c r="G6" s="24" t="s">
        <v>28</v>
      </c>
      <c r="H6" s="24" t="s">
        <v>27</v>
      </c>
      <c r="I6" s="24" t="s">
        <v>26</v>
      </c>
    </row>
    <row r="7" spans="1:9" ht="16.5" customHeight="1" x14ac:dyDescent="0.25">
      <c r="A7" s="19" t="s">
        <v>25</v>
      </c>
      <c r="B7" s="23">
        <f>SUM(B9+B11+B13+B15+B17+B19+B21+B23+B25+B27+B29+B31+B33+B35+B37+B39+B41+B43+B45+B47+B49+B51+B53+B55+B57)</f>
        <v>6111315</v>
      </c>
      <c r="C7" s="23">
        <v>5987585</v>
      </c>
      <c r="D7" s="23">
        <f t="shared" ref="D7:I7" si="0">SUM(D9+D11+D13+D15+D17+D19+D21+D23+D25+D27+D29+D31+D33+D35+D37+D39+D41+D43+D45+D47+D49+D51+D53+D55+D57)</f>
        <v>95150</v>
      </c>
      <c r="E7" s="23">
        <f t="shared" si="0"/>
        <v>8093</v>
      </c>
      <c r="F7" s="23">
        <f t="shared" si="0"/>
        <v>5817</v>
      </c>
      <c r="G7" s="23">
        <f t="shared" si="0"/>
        <v>244</v>
      </c>
      <c r="H7" s="23">
        <f t="shared" si="0"/>
        <v>1230</v>
      </c>
      <c r="I7" s="23">
        <f t="shared" si="0"/>
        <v>13196</v>
      </c>
    </row>
    <row r="8" spans="1:9" x14ac:dyDescent="0.25">
      <c r="A8" s="15"/>
      <c r="B8" s="14">
        <v>100</v>
      </c>
      <c r="C8" s="13">
        <v>97.975394820918254</v>
      </c>
      <c r="D8" s="13">
        <v>1.5569480545512708</v>
      </c>
      <c r="E8" s="13">
        <v>0.13242649086162309</v>
      </c>
      <c r="F8" s="13">
        <v>9.5184097039671497E-2</v>
      </c>
      <c r="G8" s="13">
        <v>3.992594065270731E-3</v>
      </c>
      <c r="H8" s="13">
        <v>2.0126601230668034E-2</v>
      </c>
      <c r="I8" s="12">
        <v>0.21592734133324826</v>
      </c>
    </row>
    <row r="9" spans="1:9" x14ac:dyDescent="0.25">
      <c r="A9" s="8" t="s">
        <v>24</v>
      </c>
      <c r="B9" s="22">
        <v>661822</v>
      </c>
      <c r="C9" s="21">
        <v>653295</v>
      </c>
      <c r="D9" s="21">
        <v>3366</v>
      </c>
      <c r="E9" s="21">
        <v>2900</v>
      </c>
      <c r="F9" s="21">
        <v>831</v>
      </c>
      <c r="G9" s="21">
        <v>58</v>
      </c>
      <c r="H9" s="21">
        <v>192</v>
      </c>
      <c r="I9" s="20">
        <v>1180</v>
      </c>
    </row>
    <row r="10" spans="1:9" x14ac:dyDescent="0.25">
      <c r="A10" s="4"/>
      <c r="B10" s="11">
        <v>100</v>
      </c>
      <c r="C10" s="10">
        <v>98.711587103480994</v>
      </c>
      <c r="D10" s="10">
        <v>0.50859596689139985</v>
      </c>
      <c r="E10" s="10">
        <v>0.43818428520055236</v>
      </c>
      <c r="F10" s="10">
        <v>0.12556246241436519</v>
      </c>
      <c r="G10" s="10">
        <v>8.7636857040110476E-3</v>
      </c>
      <c r="H10" s="10">
        <v>2.9010821640864163E-2</v>
      </c>
      <c r="I10" s="9">
        <v>0.17829567466781099</v>
      </c>
    </row>
    <row r="11" spans="1:9" x14ac:dyDescent="0.25">
      <c r="A11" s="8" t="s">
        <v>23</v>
      </c>
      <c r="B11" s="7">
        <v>688635</v>
      </c>
      <c r="C11" s="6">
        <v>680337</v>
      </c>
      <c r="D11" s="6">
        <v>4340</v>
      </c>
      <c r="E11" s="6">
        <v>1724</v>
      </c>
      <c r="F11" s="6">
        <v>479</v>
      </c>
      <c r="G11" s="6">
        <v>50</v>
      </c>
      <c r="H11" s="6">
        <v>70</v>
      </c>
      <c r="I11" s="5">
        <v>1635</v>
      </c>
    </row>
    <row r="12" spans="1:9" x14ac:dyDescent="0.25">
      <c r="A12" s="4"/>
      <c r="B12" s="11">
        <v>100</v>
      </c>
      <c r="C12" s="10">
        <v>98.795007514866356</v>
      </c>
      <c r="D12" s="10">
        <v>0.63023227108700541</v>
      </c>
      <c r="E12" s="10">
        <v>0.25035033072672752</v>
      </c>
      <c r="F12" s="10">
        <v>6.9557893513980548E-2</v>
      </c>
      <c r="G12" s="10">
        <v>7.2607404503111225E-3</v>
      </c>
      <c r="H12" s="10">
        <v>1.0165036630435572E-2</v>
      </c>
      <c r="I12" s="9">
        <v>0.23742621272517372</v>
      </c>
    </row>
    <row r="13" spans="1:9" x14ac:dyDescent="0.25">
      <c r="A13" s="8" t="s">
        <v>22</v>
      </c>
      <c r="B13" s="7">
        <v>352963</v>
      </c>
      <c r="C13" s="6">
        <v>348801</v>
      </c>
      <c r="D13" s="6">
        <v>2859</v>
      </c>
      <c r="E13" s="6">
        <v>582</v>
      </c>
      <c r="F13" s="6">
        <v>204</v>
      </c>
      <c r="G13" s="6">
        <v>13</v>
      </c>
      <c r="H13" s="6">
        <v>26</v>
      </c>
      <c r="I13" s="5">
        <v>478</v>
      </c>
    </row>
    <row r="14" spans="1:9" x14ac:dyDescent="0.25">
      <c r="A14" s="4"/>
      <c r="B14" s="11">
        <v>100</v>
      </c>
      <c r="C14" s="10">
        <v>98.820839578086094</v>
      </c>
      <c r="D14" s="10">
        <v>0.80999991500525559</v>
      </c>
      <c r="E14" s="10">
        <v>0.1648898043137666</v>
      </c>
      <c r="F14" s="10">
        <v>5.7796426254309939E-2</v>
      </c>
      <c r="G14" s="10">
        <v>3.6831055946373987E-3</v>
      </c>
      <c r="H14" s="10">
        <v>7.3662111892747973E-3</v>
      </c>
      <c r="I14" s="9">
        <v>0.13542495955666742</v>
      </c>
    </row>
    <row r="15" spans="1:9" x14ac:dyDescent="0.25">
      <c r="A15" s="19" t="s">
        <v>21</v>
      </c>
      <c r="B15" s="18">
        <v>397626</v>
      </c>
      <c r="C15" s="17">
        <v>392207</v>
      </c>
      <c r="D15" s="17">
        <v>4108</v>
      </c>
      <c r="E15" s="17">
        <v>243</v>
      </c>
      <c r="F15" s="17">
        <v>235</v>
      </c>
      <c r="G15" s="17">
        <v>11</v>
      </c>
      <c r="H15" s="17">
        <v>40</v>
      </c>
      <c r="I15" s="16">
        <v>782</v>
      </c>
    </row>
    <row r="16" spans="1:9" x14ac:dyDescent="0.25">
      <c r="A16" s="15"/>
      <c r="B16" s="14">
        <v>100</v>
      </c>
      <c r="C16" s="13">
        <v>98.637161553821926</v>
      </c>
      <c r="D16" s="13">
        <v>1.0331316362612104</v>
      </c>
      <c r="E16" s="13">
        <v>6.1112703897632452E-2</v>
      </c>
      <c r="F16" s="13">
        <v>5.9100763028574588E-2</v>
      </c>
      <c r="G16" s="13">
        <v>2.7664186949545554E-3</v>
      </c>
      <c r="H16" s="13">
        <v>1.0059704345289293E-2</v>
      </c>
      <c r="I16" s="12">
        <v>0.19666721995040565</v>
      </c>
    </row>
    <row r="17" spans="1:9" x14ac:dyDescent="0.25">
      <c r="A17" s="19" t="s">
        <v>20</v>
      </c>
      <c r="B17" s="18">
        <v>151132</v>
      </c>
      <c r="C17" s="17">
        <v>148488</v>
      </c>
      <c r="D17" s="17">
        <v>2248</v>
      </c>
      <c r="E17" s="17">
        <v>61</v>
      </c>
      <c r="F17" s="17">
        <v>126</v>
      </c>
      <c r="G17" s="17">
        <v>1</v>
      </c>
      <c r="H17" s="17">
        <v>15</v>
      </c>
      <c r="I17" s="16">
        <v>193</v>
      </c>
    </row>
    <row r="18" spans="1:9" x14ac:dyDescent="0.25">
      <c r="A18" s="15"/>
      <c r="B18" s="14">
        <v>100</v>
      </c>
      <c r="C18" s="13">
        <v>98.250535955323826</v>
      </c>
      <c r="D18" s="13">
        <v>1.4874414419183231</v>
      </c>
      <c r="E18" s="13">
        <v>4.0362067596538126E-2</v>
      </c>
      <c r="F18" s="13">
        <v>8.3370828150226298E-2</v>
      </c>
      <c r="G18" s="13">
        <v>6.6167323928751026E-4</v>
      </c>
      <c r="H18" s="13">
        <v>9.9250985893126545E-3</v>
      </c>
      <c r="I18" s="12">
        <v>0.12770293518248949</v>
      </c>
    </row>
    <row r="19" spans="1:9" x14ac:dyDescent="0.25">
      <c r="A19" s="19" t="s">
        <v>19</v>
      </c>
      <c r="B19" s="18">
        <v>200261</v>
      </c>
      <c r="C19" s="17">
        <v>196060</v>
      </c>
      <c r="D19" s="17">
        <v>3524</v>
      </c>
      <c r="E19" s="17">
        <v>56</v>
      </c>
      <c r="F19" s="17">
        <v>134</v>
      </c>
      <c r="G19" s="17">
        <v>15</v>
      </c>
      <c r="H19" s="17">
        <v>72</v>
      </c>
      <c r="I19" s="16">
        <v>400</v>
      </c>
    </row>
    <row r="20" spans="1:9" x14ac:dyDescent="0.25">
      <c r="A20" s="15"/>
      <c r="B20" s="14">
        <v>100</v>
      </c>
      <c r="C20" s="13">
        <v>97.90223757995814</v>
      </c>
      <c r="D20" s="13">
        <v>1.7597035868192008</v>
      </c>
      <c r="E20" s="13">
        <v>2.7963507622552571E-2</v>
      </c>
      <c r="F20" s="13">
        <v>6.6912678953965077E-2</v>
      </c>
      <c r="G20" s="13">
        <v>7.490225256040867E-3</v>
      </c>
      <c r="H20" s="13">
        <v>3.595308122899616E-2</v>
      </c>
      <c r="I20" s="12">
        <v>0.1997393401610898</v>
      </c>
    </row>
    <row r="21" spans="1:9" x14ac:dyDescent="0.25">
      <c r="A21" s="8" t="s">
        <v>18</v>
      </c>
      <c r="B21" s="7">
        <v>307704</v>
      </c>
      <c r="C21" s="6">
        <v>304034</v>
      </c>
      <c r="D21" s="6">
        <v>2387</v>
      </c>
      <c r="E21" s="6">
        <v>359</v>
      </c>
      <c r="F21" s="6">
        <v>205</v>
      </c>
      <c r="G21" s="6">
        <v>5</v>
      </c>
      <c r="H21" s="6">
        <v>29</v>
      </c>
      <c r="I21" s="5">
        <v>685</v>
      </c>
    </row>
    <row r="22" spans="1:9" x14ac:dyDescent="0.25">
      <c r="A22" s="4"/>
      <c r="B22" s="11">
        <v>100</v>
      </c>
      <c r="C22" s="10">
        <v>98.807295322777733</v>
      </c>
      <c r="D22" s="10">
        <v>0.77574552167017652</v>
      </c>
      <c r="E22" s="10">
        <v>0.1166705665184723</v>
      </c>
      <c r="F22" s="10">
        <v>6.6622468346202848E-2</v>
      </c>
      <c r="G22" s="10">
        <v>1.6249382523464109E-3</v>
      </c>
      <c r="H22" s="10">
        <v>9.4246418636091834E-3</v>
      </c>
      <c r="I22" s="9">
        <v>0.2226165405714583</v>
      </c>
    </row>
    <row r="23" spans="1:9" x14ac:dyDescent="0.25">
      <c r="A23" s="8" t="s">
        <v>17</v>
      </c>
      <c r="B23" s="7">
        <v>231946</v>
      </c>
      <c r="C23" s="6">
        <v>229169</v>
      </c>
      <c r="D23" s="6">
        <v>1828</v>
      </c>
      <c r="E23" s="6">
        <v>269</v>
      </c>
      <c r="F23" s="6">
        <v>118</v>
      </c>
      <c r="G23" s="6">
        <v>4</v>
      </c>
      <c r="H23" s="6">
        <v>19</v>
      </c>
      <c r="I23" s="5">
        <v>539</v>
      </c>
    </row>
    <row r="24" spans="1:9" x14ac:dyDescent="0.25">
      <c r="A24" s="4"/>
      <c r="B24" s="11">
        <v>100</v>
      </c>
      <c r="C24" s="10">
        <v>98.802738568459901</v>
      </c>
      <c r="D24" s="10">
        <v>0.78811447492088682</v>
      </c>
      <c r="E24" s="10">
        <v>0.11597527010597294</v>
      </c>
      <c r="F24" s="10">
        <v>5.0873910306709319E-2</v>
      </c>
      <c r="G24" s="10">
        <v>1.7245393324308244E-3</v>
      </c>
      <c r="H24" s="10">
        <v>8.1915618290464166E-3</v>
      </c>
      <c r="I24" s="9">
        <v>0.23238167504505358</v>
      </c>
    </row>
    <row r="25" spans="1:9" x14ac:dyDescent="0.25">
      <c r="A25" s="8" t="s">
        <v>16</v>
      </c>
      <c r="B25" s="7">
        <v>188638</v>
      </c>
      <c r="C25" s="6">
        <v>184100</v>
      </c>
      <c r="D25" s="6">
        <v>3057</v>
      </c>
      <c r="E25" s="6">
        <v>77</v>
      </c>
      <c r="F25" s="6">
        <v>173</v>
      </c>
      <c r="G25" s="6">
        <v>2</v>
      </c>
      <c r="H25" s="6">
        <v>28</v>
      </c>
      <c r="I25" s="5">
        <v>1201</v>
      </c>
    </row>
    <row r="26" spans="1:9" x14ac:dyDescent="0.25">
      <c r="A26" s="4"/>
      <c r="B26" s="11">
        <v>100</v>
      </c>
      <c r="C26" s="10">
        <v>97.594334121438948</v>
      </c>
      <c r="D26" s="10">
        <v>1.620564255346219</v>
      </c>
      <c r="E26" s="10">
        <v>4.0818923016571425E-2</v>
      </c>
      <c r="F26" s="10">
        <v>9.1710047816452672E-2</v>
      </c>
      <c r="G26" s="10">
        <v>1.0602317666641929E-3</v>
      </c>
      <c r="H26" s="10">
        <v>1.48432447332987E-2</v>
      </c>
      <c r="I26" s="9">
        <v>0.63666917588184779</v>
      </c>
    </row>
    <row r="27" spans="1:9" x14ac:dyDescent="0.25">
      <c r="A27" s="19" t="s">
        <v>15</v>
      </c>
      <c r="B27" s="18">
        <v>159753</v>
      </c>
      <c r="C27" s="17">
        <v>155817</v>
      </c>
      <c r="D27" s="17">
        <v>3466</v>
      </c>
      <c r="E27" s="17">
        <v>183</v>
      </c>
      <c r="F27" s="17">
        <v>75</v>
      </c>
      <c r="G27" s="17">
        <v>3</v>
      </c>
      <c r="H27" s="17">
        <v>89</v>
      </c>
      <c r="I27" s="16">
        <v>120</v>
      </c>
    </row>
    <row r="28" spans="1:9" x14ac:dyDescent="0.25">
      <c r="A28" s="15"/>
      <c r="B28" s="14">
        <v>100</v>
      </c>
      <c r="C28" s="13">
        <v>97.536196503352045</v>
      </c>
      <c r="D28" s="13">
        <v>2.1695993189486269</v>
      </c>
      <c r="E28" s="13">
        <v>0.11455183940207697</v>
      </c>
      <c r="F28" s="13">
        <v>4.6947475164785639E-2</v>
      </c>
      <c r="G28" s="13">
        <v>1.8778990065914255E-3</v>
      </c>
      <c r="H28" s="13">
        <v>5.5711003862212297E-2</v>
      </c>
      <c r="I28" s="12">
        <v>7.5115960263657022E-2</v>
      </c>
    </row>
    <row r="29" spans="1:9" x14ac:dyDescent="0.25">
      <c r="A29" s="19" t="s">
        <v>14</v>
      </c>
      <c r="B29" s="18">
        <v>32330</v>
      </c>
      <c r="C29" s="17">
        <v>31276</v>
      </c>
      <c r="D29" s="17">
        <v>940</v>
      </c>
      <c r="E29" s="17">
        <v>19</v>
      </c>
      <c r="F29" s="17">
        <v>11</v>
      </c>
      <c r="G29" s="17">
        <v>5</v>
      </c>
      <c r="H29" s="17">
        <v>17</v>
      </c>
      <c r="I29" s="16">
        <v>62</v>
      </c>
    </row>
    <row r="30" spans="1:9" x14ac:dyDescent="0.25">
      <c r="A30" s="15"/>
      <c r="B30" s="14">
        <v>100</v>
      </c>
      <c r="C30" s="13">
        <v>96.739870089699963</v>
      </c>
      <c r="D30" s="13">
        <v>2.9075162387875038</v>
      </c>
      <c r="E30" s="13">
        <v>5.8768945252087847E-2</v>
      </c>
      <c r="F30" s="13">
        <v>3.4024126198577177E-2</v>
      </c>
      <c r="G30" s="13">
        <v>1.546551190844417E-2</v>
      </c>
      <c r="H30" s="13">
        <v>5.2582740488710179E-2</v>
      </c>
      <c r="I30" s="12">
        <v>0.19177234766470769</v>
      </c>
    </row>
    <row r="31" spans="1:9" x14ac:dyDescent="0.25">
      <c r="A31" s="19" t="s">
        <v>13</v>
      </c>
      <c r="B31" s="18">
        <v>48399</v>
      </c>
      <c r="C31" s="17">
        <v>46966</v>
      </c>
      <c r="D31" s="17">
        <v>1292</v>
      </c>
      <c r="E31" s="17">
        <v>13</v>
      </c>
      <c r="F31" s="17">
        <v>44</v>
      </c>
      <c r="G31" s="17">
        <v>3</v>
      </c>
      <c r="H31" s="17">
        <v>14</v>
      </c>
      <c r="I31" s="16">
        <v>67</v>
      </c>
    </row>
    <row r="32" spans="1:9" x14ac:dyDescent="0.25">
      <c r="A32" s="15"/>
      <c r="B32" s="14">
        <v>100</v>
      </c>
      <c r="C32" s="13">
        <v>97.039195024690599</v>
      </c>
      <c r="D32" s="13">
        <v>2.6694766420793816</v>
      </c>
      <c r="E32" s="13">
        <v>2.6860059092130004E-2</v>
      </c>
      <c r="F32" s="13">
        <v>9.0910969234901537E-2</v>
      </c>
      <c r="G32" s="13">
        <v>6.1984751751069239E-3</v>
      </c>
      <c r="H32" s="13">
        <v>2.8926217483832312E-2</v>
      </c>
      <c r="I32" s="12">
        <v>0.13843261224405465</v>
      </c>
    </row>
    <row r="33" spans="1:9" x14ac:dyDescent="0.25">
      <c r="A33" s="19" t="s">
        <v>12</v>
      </c>
      <c r="B33" s="18">
        <v>34786</v>
      </c>
      <c r="C33" s="17">
        <v>33100</v>
      </c>
      <c r="D33" s="17">
        <v>1422</v>
      </c>
      <c r="E33" s="17">
        <v>46</v>
      </c>
      <c r="F33" s="17">
        <v>113</v>
      </c>
      <c r="G33" s="17">
        <v>1</v>
      </c>
      <c r="H33" s="17">
        <v>10</v>
      </c>
      <c r="I33" s="16">
        <v>94</v>
      </c>
    </row>
    <row r="34" spans="1:9" x14ac:dyDescent="0.25">
      <c r="A34" s="15"/>
      <c r="B34" s="14">
        <v>100</v>
      </c>
      <c r="C34" s="13">
        <v>95.15322256080033</v>
      </c>
      <c r="D34" s="13">
        <v>4.0878514344851373</v>
      </c>
      <c r="E34" s="13">
        <v>0.13223710688207899</v>
      </c>
      <c r="F34" s="13">
        <v>0.32484332777554187</v>
      </c>
      <c r="G34" s="13">
        <v>2.8747197148278046E-3</v>
      </c>
      <c r="H34" s="13">
        <v>2.8747197148278041E-2</v>
      </c>
      <c r="I34" s="12">
        <v>0.27022365319381358</v>
      </c>
    </row>
    <row r="35" spans="1:9" x14ac:dyDescent="0.25">
      <c r="A35" s="19" t="s">
        <v>11</v>
      </c>
      <c r="B35" s="18">
        <v>36734</v>
      </c>
      <c r="C35" s="17">
        <v>34804</v>
      </c>
      <c r="D35" s="17">
        <v>1782</v>
      </c>
      <c r="E35" s="17">
        <v>23</v>
      </c>
      <c r="F35" s="17">
        <v>51</v>
      </c>
      <c r="G35" s="17">
        <v>0</v>
      </c>
      <c r="H35" s="17">
        <v>26</v>
      </c>
      <c r="I35" s="16">
        <v>48</v>
      </c>
    </row>
    <row r="36" spans="1:9" x14ac:dyDescent="0.25">
      <c r="A36" s="15"/>
      <c r="B36" s="14">
        <v>100</v>
      </c>
      <c r="C36" s="13">
        <v>94.746011869113076</v>
      </c>
      <c r="D36" s="13">
        <v>4.8510916317308217</v>
      </c>
      <c r="E36" s="13">
        <v>6.2612293787771556E-2</v>
      </c>
      <c r="F36" s="13">
        <v>0.13883595579027605</v>
      </c>
      <c r="G36" s="13">
        <v>0</v>
      </c>
      <c r="H36" s="13">
        <v>7.0779114716611316E-2</v>
      </c>
      <c r="I36" s="12">
        <v>0.13066913486143628</v>
      </c>
    </row>
    <row r="37" spans="1:9" x14ac:dyDescent="0.25">
      <c r="A37" s="8" t="s">
        <v>10</v>
      </c>
      <c r="B37" s="7">
        <v>170262</v>
      </c>
      <c r="C37" s="6">
        <v>160839</v>
      </c>
      <c r="D37" s="6">
        <v>8900</v>
      </c>
      <c r="E37" s="6">
        <v>139</v>
      </c>
      <c r="F37" s="6">
        <v>58</v>
      </c>
      <c r="G37" s="6">
        <v>5</v>
      </c>
      <c r="H37" s="6">
        <v>42</v>
      </c>
      <c r="I37" s="5">
        <v>279</v>
      </c>
    </row>
    <row r="38" spans="1:9" x14ac:dyDescent="0.25">
      <c r="A38" s="4"/>
      <c r="B38" s="11">
        <v>100</v>
      </c>
      <c r="C38" s="10">
        <v>94.465588328575961</v>
      </c>
      <c r="D38" s="10">
        <v>5.2272380214023091</v>
      </c>
      <c r="E38" s="10">
        <v>8.1638885952238324E-2</v>
      </c>
      <c r="F38" s="10">
        <v>3.4065146656329655E-2</v>
      </c>
      <c r="G38" s="10">
        <v>2.9366505738215223E-3</v>
      </c>
      <c r="H38" s="10">
        <v>2.4667864820100787E-2</v>
      </c>
      <c r="I38" s="9">
        <v>0.16386510201924093</v>
      </c>
    </row>
    <row r="39" spans="1:9" x14ac:dyDescent="0.25">
      <c r="A39" s="8" t="s">
        <v>9</v>
      </c>
      <c r="B39" s="7">
        <v>207007</v>
      </c>
      <c r="C39" s="6">
        <v>200445</v>
      </c>
      <c r="D39" s="6">
        <v>5539</v>
      </c>
      <c r="E39" s="6">
        <v>194</v>
      </c>
      <c r="F39" s="6">
        <v>124</v>
      </c>
      <c r="G39" s="6">
        <v>5</v>
      </c>
      <c r="H39" s="6">
        <v>36</v>
      </c>
      <c r="I39" s="5">
        <v>664</v>
      </c>
    </row>
    <row r="40" spans="1:9" x14ac:dyDescent="0.25">
      <c r="A40" s="4"/>
      <c r="B40" s="11">
        <v>100</v>
      </c>
      <c r="C40" s="10">
        <v>96.830058886897547</v>
      </c>
      <c r="D40" s="10">
        <v>2.6757549261619173</v>
      </c>
      <c r="E40" s="10">
        <v>9.3716637601627004E-2</v>
      </c>
      <c r="F40" s="10">
        <v>5.9901355992792511E-2</v>
      </c>
      <c r="G40" s="10">
        <v>2.4153772577738914E-3</v>
      </c>
      <c r="H40" s="10">
        <v>1.7390716255972022E-2</v>
      </c>
      <c r="I40" s="9">
        <v>0.32076209983237286</v>
      </c>
    </row>
    <row r="41" spans="1:9" x14ac:dyDescent="0.25">
      <c r="A41" s="8" t="s">
        <v>8</v>
      </c>
      <c r="B41" s="7">
        <v>121948</v>
      </c>
      <c r="C41" s="6">
        <v>117736</v>
      </c>
      <c r="D41" s="6">
        <v>3603</v>
      </c>
      <c r="E41" s="6">
        <v>60</v>
      </c>
      <c r="F41" s="6">
        <v>31</v>
      </c>
      <c r="G41" s="6">
        <v>7</v>
      </c>
      <c r="H41" s="6">
        <v>24</v>
      </c>
      <c r="I41" s="5">
        <v>487</v>
      </c>
    </row>
    <row r="42" spans="1:9" x14ac:dyDescent="0.25">
      <c r="A42" s="4"/>
      <c r="B42" s="11">
        <v>100</v>
      </c>
      <c r="C42" s="10">
        <v>96.546068816216746</v>
      </c>
      <c r="D42" s="10">
        <v>2.9545379998031951</v>
      </c>
      <c r="E42" s="10">
        <v>4.9201298914291342E-2</v>
      </c>
      <c r="F42" s="10">
        <v>2.5420671105717191E-2</v>
      </c>
      <c r="G42" s="10">
        <v>5.7401515400006559E-3</v>
      </c>
      <c r="H42" s="10">
        <v>1.9680519565716533E-2</v>
      </c>
      <c r="I42" s="9">
        <v>0.39935054285433136</v>
      </c>
    </row>
    <row r="43" spans="1:9" x14ac:dyDescent="0.25">
      <c r="A43" s="19" t="s">
        <v>7</v>
      </c>
      <c r="B43" s="18">
        <v>511166</v>
      </c>
      <c r="C43" s="17">
        <v>501299</v>
      </c>
      <c r="D43" s="17">
        <v>8332</v>
      </c>
      <c r="E43" s="17">
        <v>313</v>
      </c>
      <c r="F43" s="17">
        <v>509</v>
      </c>
      <c r="G43" s="17">
        <v>4</v>
      </c>
      <c r="H43" s="17">
        <v>37</v>
      </c>
      <c r="I43" s="16">
        <v>672</v>
      </c>
    </row>
    <row r="44" spans="1:9" x14ac:dyDescent="0.25">
      <c r="A44" s="15"/>
      <c r="B44" s="14">
        <v>100</v>
      </c>
      <c r="C44" s="13">
        <v>98.069707296651188</v>
      </c>
      <c r="D44" s="13">
        <v>1.6299988653392439</v>
      </c>
      <c r="E44" s="13">
        <v>6.1232554590876551E-2</v>
      </c>
      <c r="F44" s="13">
        <v>9.9576262896984541E-2</v>
      </c>
      <c r="G44" s="13">
        <v>7.825246593083264E-4</v>
      </c>
      <c r="H44" s="13">
        <v>7.2383530986020192E-3</v>
      </c>
      <c r="I44" s="12">
        <v>0.13146414276379884</v>
      </c>
    </row>
    <row r="45" spans="1:9" x14ac:dyDescent="0.25">
      <c r="A45" s="19" t="s">
        <v>6</v>
      </c>
      <c r="B45" s="18">
        <v>234027</v>
      </c>
      <c r="C45" s="17">
        <v>227761</v>
      </c>
      <c r="D45" s="17">
        <v>4800</v>
      </c>
      <c r="E45" s="17">
        <v>240</v>
      </c>
      <c r="F45" s="17">
        <v>743</v>
      </c>
      <c r="G45" s="17">
        <v>24</v>
      </c>
      <c r="H45" s="17">
        <v>127</v>
      </c>
      <c r="I45" s="16">
        <v>332</v>
      </c>
    </row>
    <row r="46" spans="1:9" x14ac:dyDescent="0.25">
      <c r="A46" s="15"/>
      <c r="B46" s="14">
        <v>100</v>
      </c>
      <c r="C46" s="13">
        <v>97.322531160934417</v>
      </c>
      <c r="D46" s="13">
        <v>2.0510453921983363</v>
      </c>
      <c r="E46" s="13">
        <v>0.1025522696099168</v>
      </c>
      <c r="F46" s="13">
        <v>0.31748473466736743</v>
      </c>
      <c r="G46" s="13">
        <v>1.0255226960991681E-2</v>
      </c>
      <c r="H46" s="13">
        <v>5.4267242668580976E-2</v>
      </c>
      <c r="I46" s="12">
        <v>0.14186397296038492</v>
      </c>
    </row>
    <row r="47" spans="1:9" x14ac:dyDescent="0.25">
      <c r="A47" s="8" t="s">
        <v>5</v>
      </c>
      <c r="B47" s="7">
        <v>275084</v>
      </c>
      <c r="C47" s="6">
        <v>268242</v>
      </c>
      <c r="D47" s="6">
        <v>5908</v>
      </c>
      <c r="E47" s="6">
        <v>128</v>
      </c>
      <c r="F47" s="6">
        <v>312</v>
      </c>
      <c r="G47" s="6">
        <v>8</v>
      </c>
      <c r="H47" s="6">
        <v>19</v>
      </c>
      <c r="I47" s="5">
        <v>467</v>
      </c>
    </row>
    <row r="48" spans="1:9" x14ac:dyDescent="0.25">
      <c r="A48" s="4"/>
      <c r="B48" s="11">
        <v>100</v>
      </c>
      <c r="C48" s="10">
        <v>97.5127597388434</v>
      </c>
      <c r="D48" s="10">
        <v>2.1477076093120648</v>
      </c>
      <c r="E48" s="10">
        <v>4.6531241366273575E-2</v>
      </c>
      <c r="F48" s="10">
        <v>0.11341990083029185</v>
      </c>
      <c r="G48" s="10">
        <v>2.9082025853920984E-3</v>
      </c>
      <c r="H48" s="10">
        <v>6.9069811403062332E-3</v>
      </c>
      <c r="I48" s="9">
        <v>0.16976632592226373</v>
      </c>
    </row>
    <row r="49" spans="1:9" x14ac:dyDescent="0.25">
      <c r="A49" s="8" t="s">
        <v>4</v>
      </c>
      <c r="B49" s="7">
        <v>127385</v>
      </c>
      <c r="C49" s="6">
        <v>124329</v>
      </c>
      <c r="D49" s="6">
        <v>2586</v>
      </c>
      <c r="E49" s="6">
        <v>78</v>
      </c>
      <c r="F49" s="6">
        <v>128</v>
      </c>
      <c r="G49" s="6">
        <v>4</v>
      </c>
      <c r="H49" s="6">
        <v>12</v>
      </c>
      <c r="I49" s="5">
        <v>248</v>
      </c>
    </row>
    <row r="50" spans="1:9" x14ac:dyDescent="0.25">
      <c r="A50" s="4"/>
      <c r="B50" s="11">
        <v>100</v>
      </c>
      <c r="C50" s="10">
        <v>97.600973427012605</v>
      </c>
      <c r="D50" s="10">
        <v>2.0300663343407779</v>
      </c>
      <c r="E50" s="10">
        <v>6.1231699179652231E-2</v>
      </c>
      <c r="F50" s="10">
        <v>0.10048278839737802</v>
      </c>
      <c r="G50" s="10">
        <v>3.1400871374180632E-3</v>
      </c>
      <c r="H50" s="10">
        <v>9.4202614122541901E-3</v>
      </c>
      <c r="I50" s="9">
        <v>0.19468540251991992</v>
      </c>
    </row>
    <row r="51" spans="1:9" x14ac:dyDescent="0.25">
      <c r="A51" s="19" t="s">
        <v>3</v>
      </c>
      <c r="B51" s="18">
        <v>248262</v>
      </c>
      <c r="C51" s="17">
        <v>242999</v>
      </c>
      <c r="D51" s="17">
        <v>4499</v>
      </c>
      <c r="E51" s="17">
        <v>112</v>
      </c>
      <c r="F51" s="17">
        <v>201</v>
      </c>
      <c r="G51" s="17">
        <v>4</v>
      </c>
      <c r="H51" s="17">
        <v>24</v>
      </c>
      <c r="I51" s="16">
        <v>423</v>
      </c>
    </row>
    <row r="52" spans="1:9" x14ac:dyDescent="0.25">
      <c r="A52" s="15"/>
      <c r="B52" s="14">
        <v>100</v>
      </c>
      <c r="C52" s="13">
        <v>97.880062192361294</v>
      </c>
      <c r="D52" s="13">
        <v>1.8121984032997398</v>
      </c>
      <c r="E52" s="13">
        <v>4.5113629955450291E-2</v>
      </c>
      <c r="F52" s="13">
        <v>8.0962853759334888E-2</v>
      </c>
      <c r="G52" s="13">
        <v>1.6112010698375102E-3</v>
      </c>
      <c r="H52" s="13">
        <v>9.6672064190250623E-3</v>
      </c>
      <c r="I52" s="12">
        <v>0.17038451313531672</v>
      </c>
    </row>
    <row r="53" spans="1:9" x14ac:dyDescent="0.25">
      <c r="A53" s="19" t="s">
        <v>2</v>
      </c>
      <c r="B53" s="18">
        <v>151763</v>
      </c>
      <c r="C53" s="17">
        <v>146583</v>
      </c>
      <c r="D53" s="17">
        <v>4057</v>
      </c>
      <c r="E53" s="17">
        <v>71</v>
      </c>
      <c r="F53" s="17">
        <v>370</v>
      </c>
      <c r="G53" s="17">
        <v>4</v>
      </c>
      <c r="H53" s="17">
        <v>69</v>
      </c>
      <c r="I53" s="16">
        <v>609</v>
      </c>
    </row>
    <row r="54" spans="1:9" x14ac:dyDescent="0.25">
      <c r="A54" s="15"/>
      <c r="B54" s="14">
        <v>100</v>
      </c>
      <c r="C54" s="13">
        <v>96.58678333981274</v>
      </c>
      <c r="D54" s="13">
        <v>2.6732471023899107</v>
      </c>
      <c r="E54" s="13">
        <v>4.6783471597161362E-2</v>
      </c>
      <c r="F54" s="13">
        <v>0.24380119001337613</v>
      </c>
      <c r="G54" s="13">
        <v>2.6356885406851474E-3</v>
      </c>
      <c r="H54" s="13">
        <v>4.5465627326818789E-2</v>
      </c>
      <c r="I54" s="12">
        <v>0.40128358031931366</v>
      </c>
    </row>
    <row r="55" spans="1:9" x14ac:dyDescent="0.25">
      <c r="A55" s="8" t="s">
        <v>1</v>
      </c>
      <c r="B55" s="7">
        <v>327645</v>
      </c>
      <c r="C55" s="6">
        <v>319263</v>
      </c>
      <c r="D55" s="6">
        <v>6656</v>
      </c>
      <c r="E55" s="6">
        <v>135</v>
      </c>
      <c r="F55" s="6">
        <v>368</v>
      </c>
      <c r="G55" s="6">
        <v>5</v>
      </c>
      <c r="H55" s="6">
        <v>165</v>
      </c>
      <c r="I55" s="5">
        <v>1053</v>
      </c>
    </row>
    <row r="56" spans="1:9" x14ac:dyDescent="0.25">
      <c r="A56" s="4"/>
      <c r="B56" s="11">
        <v>100</v>
      </c>
      <c r="C56" s="10">
        <v>97.441743350272404</v>
      </c>
      <c r="D56" s="10">
        <v>2.0314669840833832</v>
      </c>
      <c r="E56" s="10">
        <v>4.1203131437989288E-2</v>
      </c>
      <c r="F56" s="10">
        <v>0.11231668421614859</v>
      </c>
      <c r="G56" s="10">
        <v>1.5260419051107146E-3</v>
      </c>
      <c r="H56" s="10">
        <v>5.0359382868653574E-2</v>
      </c>
      <c r="I56" s="9">
        <v>0.32138442521631644</v>
      </c>
    </row>
    <row r="57" spans="1:9" x14ac:dyDescent="0.25">
      <c r="A57" s="8" t="s">
        <v>0</v>
      </c>
      <c r="B57" s="7">
        <v>244037</v>
      </c>
      <c r="C57" s="6">
        <v>239635</v>
      </c>
      <c r="D57" s="6">
        <v>3651</v>
      </c>
      <c r="E57" s="6">
        <v>68</v>
      </c>
      <c r="F57" s="6">
        <v>174</v>
      </c>
      <c r="G57" s="6">
        <v>3</v>
      </c>
      <c r="H57" s="6">
        <v>28</v>
      </c>
      <c r="I57" s="5">
        <v>478</v>
      </c>
    </row>
    <row r="58" spans="1:9" x14ac:dyDescent="0.25">
      <c r="A58" s="4"/>
      <c r="B58" s="3">
        <v>100</v>
      </c>
      <c r="C58" s="2">
        <v>98.196175170158639</v>
      </c>
      <c r="D58" s="2">
        <v>1.4960846101205965</v>
      </c>
      <c r="E58" s="2">
        <v>2.7864627085237077E-2</v>
      </c>
      <c r="F58" s="2">
        <v>7.1300663423988983E-2</v>
      </c>
      <c r="G58" s="2">
        <v>1.2293217831722239E-3</v>
      </c>
      <c r="H58" s="2">
        <v>1.147366997627409E-2</v>
      </c>
      <c r="I58" s="1">
        <v>0.19587193745210768</v>
      </c>
    </row>
  </sheetData>
  <mergeCells count="6">
    <mergeCell ref="A2:I2"/>
    <mergeCell ref="A1:I1"/>
    <mergeCell ref="A5:A6"/>
    <mergeCell ref="B5:B6"/>
    <mergeCell ref="C5:I5"/>
    <mergeCell ref="A3:I3"/>
  </mergeCells>
  <pageMargins left="0.7" right="0.7" top="0.75" bottom="0.75" header="0.3" footer="0.3"/>
  <pageSetup paperSize="9" firstPageNumber="90" orientation="portrait" useFirstPageNumber="1" r:id="rId1"/>
  <headerFooter differentFirst="1">
    <oddHeader xml:space="preserve">&amp;L&amp;6වගුව A7 : සම්බන්ධයි
அட்டவணை A7 : தொடர்ச்சி
Table A7 : Contd.
&amp;11
</oddHeader>
    <oddFooter>&amp;C&amp;P</oddFooter>
    <firstFooter>&amp;C&amp;P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A7</vt:lpstr>
      <vt:lpstr>'A7'!Print_Area</vt:lpstr>
      <vt:lpstr>'A7'!Print_Titles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Randima</dc:creator>
  <cp:lastModifiedBy>M.B.M. Shiras</cp:lastModifiedBy>
  <dcterms:created xsi:type="dcterms:W3CDTF">2026-01-13T08:13:41Z</dcterms:created>
  <dcterms:modified xsi:type="dcterms:W3CDTF">2026-01-14T04:49:41Z</dcterms:modified>
</cp:coreProperties>
</file>